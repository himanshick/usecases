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Plan" sheetId="1" state="visible" r:id="rId3"/>
    <sheet name="Design Spec" sheetId="2" state="visible" r:id="rId4"/>
    <sheet name="Assump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<sst xmlns="http://schemas.openxmlformats.org/spreadsheetml/2006/main" count="287" uniqueCount="160">
  <si>
    <t xml:space="preserve">Sprint 1 Date (9/28 - 10/9) - 2 weeks</t>
  </si>
  <si>
    <t xml:space="preserve">Efforts (In Days)</t>
  </si>
  <si>
    <t xml:space="preserve">Status</t>
  </si>
  <si>
    <t xml:space="preserve">Owner</t>
  </si>
  <si>
    <t xml:space="preserve">Priority</t>
  </si>
  <si>
    <t xml:space="preserve">Description / Deliverable</t>
  </si>
  <si>
    <t xml:space="preserve">Depends On</t>
  </si>
  <si>
    <t xml:space="preserve">Sprint Goal: Foundation: Azure environment, SharePoint trigger, ADF skeleton and stored-procedure framework are in place so CPG logic can be built on top.</t>
  </si>
  <si>
    <t xml:space="preserve">Overview of tasks: Provision Dev resources and repo, build the Ready button, create the ADF master pipeline with RUN_ID, and create control tables plus the stored-procedure framework.</t>
  </si>
  <si>
    <t xml:space="preserve">Architecture and Skeleton Creation</t>
  </si>
  <si>
    <t xml:space="preserve">In Progress</t>
  </si>
  <si>
    <t xml:space="preserve">High</t>
  </si>
  <si>
    <t xml:space="preserve">Dev resource group, ADLS Gen2 (raw/YYYY/MM/RUN_ID), Azure SQL, ADF, Key Vault, Log Analytics via Bicep; Git repos; naming standards; RBAC and managed identities</t>
  </si>
  <si>
    <t xml:space="preserve">SharePoint setup for trigger</t>
  </si>
  <si>
    <t xml:space="preserve">To Do</t>
  </si>
  <si>
    <t xml:space="preserve">Monthly folder library (CPG, MPG, Common), Status and RunId columns, Power Automate 'For a selected file' Ready button, manifest check, HTTPS call to ADF createRun</t>
  </si>
  <si>
    <t xml:space="preserve">ADF Configuration</t>
  </si>
  <si>
    <t xml:space="preserve">Linked services (managed identity), master pipeline, RUN_ID generation, one-active-run-per-month guard, SharePoint to ADLS copy, logging to ctl.pipeline_run</t>
  </si>
  <si>
    <t xml:space="preserve">Stored Procedures Configuration</t>
  </si>
  <si>
    <t xml:space="preserve">Control tables DDL (pipeline_run, file_registry, processing_step, validation_result, exception, approval_audit, config), SP template with logging and idempotent delete-by-RunId, staging schemas, Q1-Q19 shells</t>
  </si>
  <si>
    <t xml:space="preserve">Total effort (person-days)</t>
  </si>
  <si>
    <t xml:space="preserve">Weeks</t>
  </si>
  <si>
    <t xml:space="preserve">Capacity</t>
  </si>
  <si>
    <t xml:space="preserve">Sprint 2 Date (10/12 - 10/23) - 2 weeks</t>
  </si>
  <si>
    <t xml:space="preserve">Sprint Goal: CPG core: files and Snowflake data land in staging and rules Q1-Q19 run in order, producing candidate CPG results on realistic 60-70k-row files.</t>
  </si>
  <si>
    <t xml:space="preserve">Overview of tasks: Build ingestion at volume, implement all 19 CPG rules, chain them through ADF.</t>
  </si>
  <si>
    <t xml:space="preserve">Snowflake reference data copy</t>
  </si>
  <si>
    <t xml:space="preserve">Medium</t>
  </si>
  <si>
    <t xml:space="preserve">ADF Snowflake connector into ref.* tables, snapshot per RUN_ID</t>
  </si>
  <si>
    <t xml:space="preserve">Excel to staging bulk load + reconciliation</t>
  </si>
  <si>
    <t xml:space="preserve">ADF Copy of Excel (60-70k rows each) to stg.* by RUN_ID, batch 100k, row-count and checksum reconciliation vs file_registry, clean and standardise SP</t>
  </si>
  <si>
    <t xml:space="preserve">CPG business rules Q1-Q10</t>
  </si>
  <si>
    <t xml:space="preserve">Set-based stored procedures: item link, monthly changes, discontinued items, new items</t>
  </si>
  <si>
    <t xml:space="preserve">CPG business rules Q11-Q19</t>
  </si>
  <si>
    <t xml:space="preserve">Set-based stored procedures: replacements and substitutes, planogram updates, DN27 processing</t>
  </si>
  <si>
    <t xml:space="preserve">ADF ordered execution of rules</t>
  </si>
  <si>
    <t xml:space="preserve">ForEach over ctl.processing_step ordered by sequence, retries with backoff, fromStep restart parameter</t>
  </si>
  <si>
    <t xml:space="preserve">Candidate CPG result tables</t>
  </si>
  <si>
    <t xml:space="preserve">cpg.* tables for Planogram Master, Monthly New Item and DN27 candidates</t>
  </si>
  <si>
    <t xml:space="preserve">Sprint 3 Date (10/26 - 11/13) - 3 weeks</t>
  </si>
  <si>
    <t xml:space="preserve">Sprint Goal: CPG complete and MPG intake ready: validation, human approval, the 3 CPG files and the handoff work end to end; MPG trigger and Excel ingest are built; RPA bot started on a sample file.</t>
  </si>
  <si>
    <t xml:space="preserve">Overview of tasks: Validation SPs and exception queue, Power Apps review, approval gate, file generation, handoff, full CPG test at volume, Ready for MPG button, MPG Excel ingest, RPA bot build on sample XREF.</t>
  </si>
  <si>
    <t xml:space="preserve">CPG validation SPs + exception table</t>
  </si>
  <si>
    <t xml:space="preserve">Missing items, invalid codes, invalid replacements, duplicates, POG inconsistencies, rule checks into validation_result and exception</t>
  </si>
  <si>
    <t xml:space="preserve">Power Apps exception review</t>
  </si>
  <si>
    <t xml:space="preserve">Canvas app over SQL views, server-side filter and paging, fix or resolve with reason, revalidate trigger</t>
  </si>
  <si>
    <t xml:space="preserve">Approval gate (Teams card + ADF Webhook)</t>
  </si>
  <si>
    <t xml:space="preserve">Summary card (rows, exceptions, delta vs last month), ADF Webhook waits with 7-day timeout, callback resumes pipeline, approval_audit entry</t>
  </si>
  <si>
    <t xml:space="preserve">Generate 3 CPG output files</t>
  </si>
  <si>
    <t xml:space="preserve">ADF Copy from SQL to Planogram Master Data, Monthly New Item, DN27 with checksum into outputs/CPG</t>
  </si>
  <si>
    <t xml:space="preserve">Handoff notification</t>
  </si>
  <si>
    <t xml:space="preserve">Secure SharePoint Outbound/RUN_ID link (no attachments), Teams or email message, AWAITING_TEAM status, SLA reminder flow</t>
  </si>
  <si>
    <t xml:space="preserve">CPG end-to-end test at volume + fixes</t>
  </si>
  <si>
    <t xml:space="preserve">Run with 60-70k-row files, measure runtime per step, fix defects</t>
  </si>
  <si>
    <t xml:space="preserve">Ready for MPG button + dependency guard</t>
  </si>
  <si>
    <t xml:space="preserve">Second Power Automate button, checks RUN_ID exists and CPG approved, manifest check (Product_Listings, SOG_PDFs, Category_Adjustments), calls ADF MPG pipeline</t>
  </si>
  <si>
    <t xml:space="preserve">MPG Excel/CSV ingest + staging</t>
  </si>
  <si>
    <t xml:space="preserve">Copy MPG files into the frozen RUN_ID package and stg.mpg_* with reconciliation</t>
  </si>
  <si>
    <t xml:space="preserve">RPA bot build on sample XREF</t>
  </si>
  <si>
    <t xml:space="preserve">Power Automate Desktop unattended bot, cloud flow queue, Key Vault credentials, retries, screenshots on failure; built against a sample file until XREF is ready</t>
  </si>
  <si>
    <t xml:space="preserve">Sprint 4 Date (11/16 - 11/27) - 2 weeks</t>
  </si>
  <si>
    <t xml:space="preserve">Sprint Goal: MPG processing complete: PDFs are extracted, all 33 MPG rules run, and MPG validation produces exceptions.</t>
  </si>
  <si>
    <t xml:space="preserve">Overview of tasks: Document Intelligence and Azure Function for PDFs, MPG rules Q1-Q33, MPG validation SPs.</t>
  </si>
  <si>
    <t xml:space="preserve">PDF extraction with Document Intelligence</t>
  </si>
  <si>
    <t xml:space="preserve">Model for SOG PDFs, batch async extraction of item number and description, confidence score stored per field</t>
  </si>
  <si>
    <t xml:space="preserve">Azure Function for PDF normalisation</t>
  </si>
  <si>
    <t xml:space="preserve">Durable Function (Flex Consumption), normalises output, low confidence goes to exceptions</t>
  </si>
  <si>
    <t xml:space="preserve">MPG business rules Q1-Q17</t>
  </si>
  <si>
    <t xml:space="preserve">Monthly sets, category processing, largest set and related rules as set-based SPs</t>
  </si>
  <si>
    <t xml:space="preserve">MPG business rules Q18-Q33</t>
  </si>
  <si>
    <t xml:space="preserve">Planogram processing, label construction, item count calculations, validation and export generation</t>
  </si>
  <si>
    <t xml:space="preserve">MPG validation SPs + exceptions</t>
  </si>
  <si>
    <t xml:space="preserve">Invalid item status, SOG data, description, POG mismatches, item counts; reuse Power Apps review pattern</t>
  </si>
  <si>
    <t xml:space="preserve">Sprint 5 Date (11/30 - 12/11) - 2 weeks</t>
  </si>
  <si>
    <t xml:space="preserve">Sprint Goal: Go-live ready: MPG approval, SAP XREF and RPA upload work end to end, tested at 3x volume, hardened and signed off in UAT.</t>
  </si>
  <si>
    <t xml:space="preserve">Overview of tasks: MPG approval, XREF generation, RPA integration with SAP reconciliation, performance and security hardening, CI/CD to Prod, business UAT and handover.</t>
  </si>
  <si>
    <t xml:space="preserve">MPG approval gate</t>
  </si>
  <si>
    <t xml:space="preserve">Reuse Teams card and ADF Webhook pattern, approval_audit</t>
  </si>
  <si>
    <t xml:space="preserve">SAP XREF file generation</t>
  </si>
  <si>
    <t xml:space="preserve">Single schema-validated XREF file, row count and hash recorded, saved to outputs/MPG</t>
  </si>
  <si>
    <t xml:space="preserve">RPA integration + SAP reconciliation</t>
  </si>
  <si>
    <t xml:space="preserve">Point bot at real XREF, reconcile SAP record count to XREF, failure alerts</t>
  </si>
  <si>
    <t xml:space="preserve">Run close + runbook</t>
  </si>
  <si>
    <t xml:space="preserve">COMPLETED status, stakeholder notification, archive package; operations runbook and restart procedures</t>
  </si>
  <si>
    <t xml:space="preserve">Performance test at 3x volume + tuning</t>
  </si>
  <si>
    <t xml:space="preserve">200k rows per file, index tuning, SQL scale-up window, copy parallelism</t>
  </si>
  <si>
    <t xml:space="preserve">Security and monitoring hardening</t>
  </si>
  <si>
    <t xml:space="preserve">Private endpoints, managed VNet integration runtime, RBAC review, alerts on failure, long run and approval pending, run dashboard</t>
  </si>
  <si>
    <t xml:space="preserve">CI/CD and Prod deployment</t>
  </si>
  <si>
    <t xml:space="preserve">ADF Git CI/CD, DACPAC, Bicep for Prod, tSQLt tests per rule</t>
  </si>
  <si>
    <t xml:space="preserve">Business UAT + defect fixes</t>
  </si>
  <si>
    <t xml:space="preserve">Full CPG to SAP cycle with business users, fix defects, sign-off</t>
  </si>
  <si>
    <t xml:space="preserve">Assumptions: Sprint 1 dates inferred as 9/28-10/9 (two weeks before Sprint 2). Efforts are person-days; Plan runs 11 weeks (about 2.5 months) from 9/28 to 12/11 with sprints of 2, 2, 3, 2, 2 weeks, assuming 2 developers (see Assumptions tab). Load % in the last column of each total row = planned effort / capacity. Leave, holidays and hypercare after 12/11 are not included. Owners are blank for you to assign.</t>
  </si>
  <si>
    <t xml:space="preserve">Area</t>
  </si>
  <si>
    <t xml:space="preserve">Decision</t>
  </si>
  <si>
    <t xml:space="preserve">Exact detail</t>
  </si>
  <si>
    <t xml:space="preserve">Trigger</t>
  </si>
  <si>
    <t xml:space="preserve">Power Automate 'For a selected file' button on the month folder</t>
  </si>
  <si>
    <t xml:space="preserve">Checks manifest of required files, sets Status=Submitted, calls ADF createRun over HTTPS with Entra app or managed identity. Fallback: _READY.flag file.</t>
  </si>
  <si>
    <t xml:space="preserve">Run identity</t>
  </si>
  <si>
    <t xml:space="preserve">RUN_ID = RUN_YYYYMM_nnn</t>
  </si>
  <si>
    <t xml:space="preserve">Generated by ADF, carried in every table, log, folder and notification. One active run per month.</t>
  </si>
  <si>
    <t xml:space="preserve">Landing zone</t>
  </si>
  <si>
    <t xml:space="preserve">ADLS Gen2 raw/YYYY/MM/RUN_ID/{CPG,MPG,PDFs,Reference}, outputs/</t>
  </si>
  <si>
    <t xml:space="preserve">Immutable (WORM) once frozen; lifecycle tiering to cool storage.</t>
  </si>
  <si>
    <t xml:space="preserve">Excel ingest</t>
  </si>
  <si>
    <t xml:space="preserve">ADF Copy to Azure SQL staging</t>
  </si>
  <si>
    <t xml:space="preserve">60-70k rows per file; batch 100k; parallel copies; row-count and checksum reconciliation; convert to CSV/Parquet if Excel parsing is slow.</t>
  </si>
  <si>
    <t xml:space="preserve">Database</t>
  </si>
  <si>
    <t xml:space="preserve">Azure SQL Database (vCore, General Purpose)</t>
  </si>
  <si>
    <t xml:space="preserve">Scale up before the run and down after via ADF Web activity; clustered columnstore on large staging tables; indexes on item, POG, SOG keys.</t>
  </si>
  <si>
    <t xml:space="preserve">Business rules</t>
  </si>
  <si>
    <t xml:space="preserve">Stored procedures: Q1-Q19 (CPG), Q1-Q33 (MPG)</t>
  </si>
  <si>
    <t xml:space="preserve">Set-based only, @RunId parameter, idempotent (delete by RunId then insert), log rows in/out and duration to ctl.processing_step.</t>
  </si>
  <si>
    <t xml:space="preserve">Orchestration</t>
  </si>
  <si>
    <t xml:space="preserve">ADF ForEach over ctl.processing_step ordered by sequence</t>
  </si>
  <si>
    <t xml:space="preserve">Retries 2 with backoff, fromStep parameter to restart, failure sets status FAILED and alerts.</t>
  </si>
  <si>
    <t xml:space="preserve">Azure Functions</t>
  </si>
  <si>
    <t xml:space="preserve">Used only for PDF normalisation</t>
  </si>
  <si>
    <t xml:space="preserve">Durable Function on Flex Consumption. Cold start is irrelevant for a monthly batch; keep async to avoid ADF's HTTP timeout.</t>
  </si>
  <si>
    <t xml:space="preserve">PDF extraction</t>
  </si>
  <si>
    <t xml:space="preserve">Azure AI Document Intelligence</t>
  </si>
  <si>
    <t xml:space="preserve">Batch async; confidence threshold in ctl.config (start at 0.8); below threshold goes to exceptions.</t>
  </si>
  <si>
    <t xml:space="preserve">Validation</t>
  </si>
  <si>
    <t xml:space="preserve">Dedicated validation SPs per phase</t>
  </si>
  <si>
    <t xml:space="preserve">Write validation_result and exception rows; revalidate runs only the validation step.</t>
  </si>
  <si>
    <t xml:space="preserve">Review UI</t>
  </si>
  <si>
    <t xml:space="preserve">Power Apps over SQL views</t>
  </si>
  <si>
    <t xml:space="preserve">Exceptions only, server-side filter and paging, resolve with reason.</t>
  </si>
  <si>
    <t xml:space="preserve">Approval</t>
  </si>
  <si>
    <t xml:space="preserve">Teams adaptive card / Approvals plus ADF Webhook activity</t>
  </si>
  <si>
    <t xml:space="preserve">Summary of rows, exceptions, delta vs last month; webhook timeout 7 days; callback resumes pipeline; approval_audit entry.</t>
  </si>
  <si>
    <t xml:space="preserve">Outputs</t>
  </si>
  <si>
    <t xml:space="preserve">ADF Copy from SQL to files in outputs/</t>
  </si>
  <si>
    <t xml:space="preserve">CPG: Planogram Master Data, Monthly New Item, DN27. MPG: SAP XREF. Checksum recorded.</t>
  </si>
  <si>
    <t xml:space="preserve">Handoff</t>
  </si>
  <si>
    <t xml:space="preserve">Secure SharePoint Outbound/RUN_ID link</t>
  </si>
  <si>
    <t xml:space="preserve">No attachments (files exceed mail limits); status AWAITING_TEAM; SLA reminder flow.</t>
  </si>
  <si>
    <t xml:space="preserve">MPG trigger</t>
  </si>
  <si>
    <t xml:space="preserve">Second button validates RUN_ID and CPG approved</t>
  </si>
  <si>
    <t xml:space="preserve">Same RUN_ID, manifest check for MPG inputs.</t>
  </si>
  <si>
    <t xml:space="preserve">SAP upload</t>
  </si>
  <si>
    <t xml:space="preserve">Power Automate Desktop unattended RPA</t>
  </si>
  <si>
    <t xml:space="preserve">Cloud flow queues job; credentials from Key Vault; retries; screenshots on failure; reconcile SAP count to XREF. Evaluate IDoc/API as a replacement.</t>
  </si>
  <si>
    <t xml:space="preserve">Security</t>
  </si>
  <si>
    <t xml:space="preserve">Managed identities, RBAC, Key Vault, private endpoints</t>
  </si>
  <si>
    <t xml:space="preserve">ADF managed VNet integration runtime; no secrets in flows.</t>
  </si>
  <si>
    <t xml:space="preserve">Observability</t>
  </si>
  <si>
    <t xml:space="preserve">Azure Monitor and Log Analytics</t>
  </si>
  <si>
    <t xml:space="preserve">RUN_ID on every log; alerts on failure, long run, approval pending; run status dashboard.</t>
  </si>
  <si>
    <t xml:space="preserve">Environments</t>
  </si>
  <si>
    <t xml:space="preserve">Dev, UAT, Prod</t>
  </si>
  <si>
    <t xml:space="preserve">Bicep for infra, ADF Git CI/CD, DACPAC for SQL, tSQLt tests per rule.</t>
  </si>
  <si>
    <t xml:space="preserve">Configuration</t>
  </si>
  <si>
    <t xml:space="preserve">ctl.config table</t>
  </si>
  <si>
    <t xml:space="preserve">Thresholds, approvers, email lists, rule toggles; no hardcoding in pipelines.</t>
  </si>
  <si>
    <t xml:space="preserve">Developers</t>
  </si>
  <si>
    <t xml:space="preserve">Edit to match the team; capacity on Sprint Plan recalculates</t>
  </si>
  <si>
    <t xml:space="preserve">Working days per week</t>
  </si>
  <si>
    <t xml:space="preserve">No holidays or leave deducted</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</si>
</sst>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i val="true"/>
      <sz val="10"/>
      <name val="Arial"/>
      <family val="0"/>
      <charset val="1"/>
    </font>
    <font>
      <sz val="10"/>
      <name val="Arial"/>
      <family val="0"/>
      <charset val="1"/>
    </font>
    <font>
      <b val="true"/>
      <sz val="10"/>
      <color rgb="FF0000FF"/>
      <name val="Arial"/>
      <family val="0"/>
      <charset val="1"/>
    </font>
    <font>
      <sz val="10"/>
      <color rgb="FF0000FF"/>
      <name val="Arial"/>
      <family val="0"/>
      <charset val="1"/>
    </font>
  </fonts>
  <fills count="6">
    <fill>
      <patternFill patternType="none"/>
    </fill>
    <fill>
      <patternFill patternType="gray125"/>
    </fill>
    <fill>
      <patternFill patternType="solid">
        <fgColor rgb="FFF4B183"/>
        <bgColor rgb="FFFF99CC"/>
      </patternFill>
    </fill>
    <fill>
      <patternFill patternType="solid">
        <fgColor rgb="FFFFF2CC"/>
        <bgColor rgb="FFE2EFDA"/>
      </patternFill>
    </fill>
    <fill>
      <patternFill patternType="solid">
        <fgColor rgb="FFE2EFDA"/>
        <bgColor rgb="FFFFF2CC"/>
      </patternFill>
    </fill>
    <fill>
      <patternFill patternType="solid">
        <fgColor rgb="FFD9D9D9"/>
        <bgColor rgb="FFE2EFDA"/>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left" vertical="bottom" textRotation="0" wrapText="false" indent="0" shrinkToFit="false"/>
      <protection locked="true" hidden="false"/>
    </xf>
    <xf numFmtId="164" fontId="7" fillId="5" borderId="1" xfId="0" applyFont="true" applyBorder="true" applyAlignment="true" applyProtection="false">
      <alignment horizontal="left" vertical="bottom" textRotation="0" wrapText="false" indent="0" shrinkToFit="false"/>
      <protection locked="true" hidden="false"/>
    </xf>
    <xf numFmtId="165" fontId="4" fillId="5"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4B183"/>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5" min="5" style="0" width="10"/>
    <col collapsed="false" customWidth="true" hidden="false" outlineLevel="0" max="6" min="6" style="0" width="80"/>
    <col collapsed="false" customWidth="true" hidden="false" outlineLevel="0" max="7" min="7" style="0" width="34"/>
  </cols>
  <sheetData>
    <row r="1" customFormat="false" ht="23.85" hidden="false" customHeight="false" outlineLevel="0" collapsed="false">
      <c r="A1" s="1" t="s">
        <v>0</v>
      </c>
      <c r="B1" s="1" t="s">
        <v>1</v>
      </c>
      <c r="C1" s="1" t="s">
        <v>2</v>
      </c>
      <c r="D1" s="1" t="s">
        <v>3</v>
      </c>
      <c r="E1" s="1" t="s">
        <v>4</v>
      </c>
      <c r="F1" s="1" t="s">
        <v>5</v>
      </c>
      <c r="G1" s="1" t="s">
        <v>6</v>
      </c>
    </row>
    <row r="2" customFormat="false" ht="30" hidden="false" customHeight="true" outlineLevel="0" collapsed="false">
      <c r="A2" s="2" t="s">
        <v>7</v>
      </c>
      <c r="B2" s="2"/>
      <c r="C2" s="2"/>
      <c r="D2" s="2"/>
      <c r="E2" s="2"/>
      <c r="F2" s="2"/>
      <c r="G2" s="2"/>
    </row>
    <row r="3" customFormat="false" ht="30" hidden="false" customHeight="true" outlineLevel="0" collapsed="false">
      <c r="A3" s="3" t="s">
        <v>8</v>
      </c>
      <c r="B3" s="3"/>
      <c r="C3" s="3"/>
      <c r="D3" s="3"/>
      <c r="E3" s="3"/>
      <c r="F3" s="3"/>
      <c r="G3" s="3"/>
    </row>
    <row r="4" customFormat="false" ht="23.85" hidden="false" customHeight="false" outlineLevel="0" collapsed="false">
      <c r="A4" s="4" t="s">
        <v>9</v>
      </c>
      <c r="B4" s="4" t="n">
        <v>4</v>
      </c>
      <c r="C4" s="4" t="s">
        <v>10</v>
      </c>
      <c r="D4" s="4"/>
      <c r="E4" s="4" t="s">
        <v>11</v>
      </c>
      <c r="F4" s="4" t="s">
        <v>12</v>
      </c>
      <c r="G4" s="4"/>
    </row>
    <row r="5" customFormat="false" ht="23.85" hidden="false" customHeight="false" outlineLevel="0" collapsed="false">
      <c r="A5" s="4" t="s">
        <v>13</v>
      </c>
      <c r="B5" s="4" t="n">
        <v>4</v>
      </c>
      <c r="C5" s="4" t="s">
        <v>14</v>
      </c>
      <c r="D5" s="4"/>
      <c r="E5" s="4" t="s">
        <v>11</v>
      </c>
      <c r="F5" s="4" t="s">
        <v>15</v>
      </c>
      <c r="G5" s="4" t="s">
        <v>9</v>
      </c>
    </row>
    <row r="6" customFormat="false" ht="23.85" hidden="false" customHeight="false" outlineLevel="0" collapsed="false">
      <c r="A6" s="4" t="s">
        <v>16</v>
      </c>
      <c r="B6" s="4" t="n">
        <v>3</v>
      </c>
      <c r="C6" s="4" t="s">
        <v>14</v>
      </c>
      <c r="D6" s="4"/>
      <c r="E6" s="4" t="s">
        <v>11</v>
      </c>
      <c r="F6" s="4" t="s">
        <v>17</v>
      </c>
      <c r="G6" s="4" t="s">
        <v>9</v>
      </c>
    </row>
    <row r="7" customFormat="false" ht="35.05" hidden="false" customHeight="false" outlineLevel="0" collapsed="false">
      <c r="A7" s="4" t="s">
        <v>18</v>
      </c>
      <c r="B7" s="4" t="n">
        <v>5</v>
      </c>
      <c r="C7" s="4" t="s">
        <v>14</v>
      </c>
      <c r="D7" s="4"/>
      <c r="E7" s="4" t="s">
        <v>11</v>
      </c>
      <c r="F7" s="4" t="s">
        <v>19</v>
      </c>
      <c r="G7" s="4" t="s">
        <v>9</v>
      </c>
    </row>
    <row r="8" customFormat="false" ht="15" hidden="false" customHeight="false" outlineLevel="0" collapsed="false">
      <c r="A8" s="5" t="s">
        <v>20</v>
      </c>
      <c r="B8" s="5" t="n">
        <f aca="false">SUM(B4:B7)</f>
        <v>16</v>
      </c>
      <c r="C8" s="5" t="s">
        <v>21</v>
      </c>
      <c r="D8" s="6" t="n">
        <v>2</v>
      </c>
      <c r="E8" s="5" t="s">
        <v>22</v>
      </c>
      <c r="F8" s="5" t="n">
        <f aca="false">Assumptions!$B$1*Assumptions!$B$2*D8</f>
        <v>20</v>
      </c>
      <c r="G8" s="7" t="n">
        <f aca="false">B8/F8</f>
        <v>0.8</v>
      </c>
    </row>
    <row r="10" customFormat="false" ht="23.85" hidden="false" customHeight="false" outlineLevel="0" collapsed="false">
      <c r="A10" s="1" t="s">
        <v>23</v>
      </c>
      <c r="B10" s="1" t="s">
        <v>1</v>
      </c>
      <c r="C10" s="1" t="s">
        <v>2</v>
      </c>
      <c r="D10" s="1" t="s">
        <v>3</v>
      </c>
      <c r="E10" s="1" t="s">
        <v>4</v>
      </c>
      <c r="F10" s="1" t="s">
        <v>5</v>
      </c>
      <c r="G10" s="1" t="s">
        <v>6</v>
      </c>
    </row>
    <row r="11" customFormat="false" ht="30" hidden="false" customHeight="true" outlineLevel="0" collapsed="false">
      <c r="A11" s="2" t="s">
        <v>24</v>
      </c>
      <c r="B11" s="2"/>
      <c r="C11" s="2"/>
      <c r="D11" s="2"/>
      <c r="E11" s="2"/>
      <c r="F11" s="2"/>
      <c r="G11" s="2"/>
    </row>
    <row r="12" customFormat="false" ht="30" hidden="false" customHeight="true" outlineLevel="0" collapsed="false">
      <c r="A12" s="3" t="s">
        <v>25</v>
      </c>
      <c r="B12" s="3"/>
      <c r="C12" s="3"/>
      <c r="D12" s="3"/>
      <c r="E12" s="3"/>
      <c r="F12" s="3"/>
      <c r="G12" s="3"/>
    </row>
    <row r="13" customFormat="false" ht="15" hidden="false" customHeight="false" outlineLevel="0" collapsed="false">
      <c r="A13" s="4" t="s">
        <v>26</v>
      </c>
      <c r="B13" s="4" t="n">
        <v>2</v>
      </c>
      <c r="C13" s="4" t="s">
        <v>14</v>
      </c>
      <c r="D13" s="4"/>
      <c r="E13" s="4" t="s">
        <v>27</v>
      </c>
      <c r="F13" s="4" t="s">
        <v>28</v>
      </c>
      <c r="G13" s="4" t="s">
        <v>16</v>
      </c>
    </row>
    <row r="14" customFormat="false" ht="23.85" hidden="false" customHeight="false" outlineLevel="0" collapsed="false">
      <c r="A14" s="4" t="s">
        <v>29</v>
      </c>
      <c r="B14" s="4" t="n">
        <v>3</v>
      </c>
      <c r="C14" s="4" t="s">
        <v>14</v>
      </c>
      <c r="D14" s="4"/>
      <c r="E14" s="4" t="s">
        <v>11</v>
      </c>
      <c r="F14" s="4" t="s">
        <v>30</v>
      </c>
      <c r="G14" s="4" t="s">
        <v>18</v>
      </c>
    </row>
    <row r="15" customFormat="false" ht="15" hidden="false" customHeight="false" outlineLevel="0" collapsed="false">
      <c r="A15" s="4" t="s">
        <v>31</v>
      </c>
      <c r="B15" s="4" t="n">
        <v>5</v>
      </c>
      <c r="C15" s="4" t="s">
        <v>14</v>
      </c>
      <c r="D15" s="4"/>
      <c r="E15" s="4" t="s">
        <v>11</v>
      </c>
      <c r="F15" s="4" t="s">
        <v>32</v>
      </c>
      <c r="G15" s="4" t="s">
        <v>29</v>
      </c>
    </row>
    <row r="16" customFormat="false" ht="15" hidden="false" customHeight="false" outlineLevel="0" collapsed="false">
      <c r="A16" s="4" t="s">
        <v>33</v>
      </c>
      <c r="B16" s="4" t="n">
        <v>5</v>
      </c>
      <c r="C16" s="4" t="s">
        <v>14</v>
      </c>
      <c r="D16" s="4"/>
      <c r="E16" s="4" t="s">
        <v>11</v>
      </c>
      <c r="F16" s="4" t="s">
        <v>34</v>
      </c>
      <c r="G16" s="4" t="s">
        <v>29</v>
      </c>
    </row>
    <row r="17" customFormat="false" ht="23.85" hidden="false" customHeight="false" outlineLevel="0" collapsed="false">
      <c r="A17" s="4" t="s">
        <v>35</v>
      </c>
      <c r="B17" s="4" t="n">
        <v>3</v>
      </c>
      <c r="C17" s="4" t="s">
        <v>14</v>
      </c>
      <c r="D17" s="4"/>
      <c r="E17" s="4" t="s">
        <v>11</v>
      </c>
      <c r="F17" s="4" t="s">
        <v>36</v>
      </c>
      <c r="G17" s="4" t="s">
        <v>31</v>
      </c>
    </row>
    <row r="18" customFormat="false" ht="15" hidden="false" customHeight="false" outlineLevel="0" collapsed="false">
      <c r="A18" s="4" t="s">
        <v>37</v>
      </c>
      <c r="B18" s="4" t="n">
        <v>2</v>
      </c>
      <c r="C18" s="4" t="s">
        <v>14</v>
      </c>
      <c r="D18" s="4"/>
      <c r="E18" s="4" t="s">
        <v>27</v>
      </c>
      <c r="F18" s="4" t="s">
        <v>38</v>
      </c>
      <c r="G18" s="4" t="s">
        <v>33</v>
      </c>
    </row>
    <row r="19" customFormat="false" ht="15" hidden="false" customHeight="false" outlineLevel="0" collapsed="false">
      <c r="A19" s="5" t="s">
        <v>20</v>
      </c>
      <c r="B19" s="5" t="n">
        <f aca="false">SUM(B13:B18)</f>
        <v>20</v>
      </c>
      <c r="C19" s="5" t="s">
        <v>21</v>
      </c>
      <c r="D19" s="6" t="n">
        <v>2</v>
      </c>
      <c r="E19" s="5" t="s">
        <v>22</v>
      </c>
      <c r="F19" s="5" t="n">
        <f aca="false">Assumptions!$B$1*Assumptions!$B$2*D19</f>
        <v>20</v>
      </c>
      <c r="G19" s="7" t="n">
        <f aca="false">B19/F19</f>
        <v>1</v>
      </c>
    </row>
    <row r="21" customFormat="false" ht="23.85" hidden="false" customHeight="false" outlineLevel="0" collapsed="false">
      <c r="A21" s="1" t="s">
        <v>39</v>
      </c>
      <c r="B21" s="1" t="s">
        <v>1</v>
      </c>
      <c r="C21" s="1" t="s">
        <v>2</v>
      </c>
      <c r="D21" s="1" t="s">
        <v>3</v>
      </c>
      <c r="E21" s="1" t="s">
        <v>4</v>
      </c>
      <c r="F21" s="1" t="s">
        <v>5</v>
      </c>
      <c r="G21" s="1" t="s">
        <v>6</v>
      </c>
    </row>
    <row r="22" customFormat="false" ht="30" hidden="false" customHeight="true" outlineLevel="0" collapsed="false">
      <c r="A22" s="2" t="s">
        <v>40</v>
      </c>
      <c r="B22" s="2"/>
      <c r="C22" s="2"/>
      <c r="D22" s="2"/>
      <c r="E22" s="2"/>
      <c r="F22" s="2"/>
      <c r="G22" s="2"/>
    </row>
    <row r="23" customFormat="false" ht="30" hidden="false" customHeight="true" outlineLevel="0" collapsed="false">
      <c r="A23" s="3" t="s">
        <v>41</v>
      </c>
      <c r="B23" s="3"/>
      <c r="C23" s="3"/>
      <c r="D23" s="3"/>
      <c r="E23" s="3"/>
      <c r="F23" s="3"/>
      <c r="G23" s="3"/>
    </row>
    <row r="24" customFormat="false" ht="23.85" hidden="false" customHeight="false" outlineLevel="0" collapsed="false">
      <c r="A24" s="4" t="s">
        <v>42</v>
      </c>
      <c r="B24" s="4" t="n">
        <v>4</v>
      </c>
      <c r="C24" s="4" t="s">
        <v>14</v>
      </c>
      <c r="D24" s="4"/>
      <c r="E24" s="4" t="s">
        <v>11</v>
      </c>
      <c r="F24" s="4" t="s">
        <v>43</v>
      </c>
      <c r="G24" s="4" t="s">
        <v>37</v>
      </c>
    </row>
    <row r="25" customFormat="false" ht="23.85" hidden="false" customHeight="false" outlineLevel="0" collapsed="false">
      <c r="A25" s="4" t="s">
        <v>44</v>
      </c>
      <c r="B25" s="4" t="n">
        <v>5</v>
      </c>
      <c r="C25" s="4" t="s">
        <v>14</v>
      </c>
      <c r="D25" s="4"/>
      <c r="E25" s="4" t="s">
        <v>11</v>
      </c>
      <c r="F25" s="4" t="s">
        <v>45</v>
      </c>
      <c r="G25" s="4" t="s">
        <v>42</v>
      </c>
    </row>
    <row r="26" customFormat="false" ht="23.85" hidden="false" customHeight="false" outlineLevel="0" collapsed="false">
      <c r="A26" s="4" t="s">
        <v>46</v>
      </c>
      <c r="B26" s="4" t="n">
        <v>4</v>
      </c>
      <c r="C26" s="4" t="s">
        <v>14</v>
      </c>
      <c r="D26" s="4"/>
      <c r="E26" s="4" t="s">
        <v>11</v>
      </c>
      <c r="F26" s="4" t="s">
        <v>47</v>
      </c>
      <c r="G26" s="4" t="s">
        <v>42</v>
      </c>
    </row>
    <row r="27" customFormat="false" ht="23.85" hidden="false" customHeight="false" outlineLevel="0" collapsed="false">
      <c r="A27" s="4" t="s">
        <v>48</v>
      </c>
      <c r="B27" s="4" t="n">
        <v>3</v>
      </c>
      <c r="C27" s="4" t="s">
        <v>14</v>
      </c>
      <c r="D27" s="4"/>
      <c r="E27" s="4" t="s">
        <v>11</v>
      </c>
      <c r="F27" s="4" t="s">
        <v>49</v>
      </c>
      <c r="G27" s="4" t="s">
        <v>46</v>
      </c>
    </row>
    <row r="28" customFormat="false" ht="23.85" hidden="false" customHeight="false" outlineLevel="0" collapsed="false">
      <c r="A28" s="4" t="s">
        <v>50</v>
      </c>
      <c r="B28" s="4" t="n">
        <v>2</v>
      </c>
      <c r="C28" s="4" t="s">
        <v>14</v>
      </c>
      <c r="D28" s="4"/>
      <c r="E28" s="4" t="s">
        <v>27</v>
      </c>
      <c r="F28" s="4" t="s">
        <v>51</v>
      </c>
      <c r="G28" s="4" t="s">
        <v>48</v>
      </c>
    </row>
    <row r="29" customFormat="false" ht="15" hidden="false" customHeight="false" outlineLevel="0" collapsed="false">
      <c r="A29" s="4" t="s">
        <v>52</v>
      </c>
      <c r="B29" s="4" t="n">
        <v>3</v>
      </c>
      <c r="C29" s="4" t="s">
        <v>14</v>
      </c>
      <c r="D29" s="4"/>
      <c r="E29" s="4" t="s">
        <v>11</v>
      </c>
      <c r="F29" s="4" t="s">
        <v>53</v>
      </c>
      <c r="G29" s="4" t="s">
        <v>50</v>
      </c>
    </row>
    <row r="30" customFormat="false" ht="23.85" hidden="false" customHeight="false" outlineLevel="0" collapsed="false">
      <c r="A30" s="4" t="s">
        <v>54</v>
      </c>
      <c r="B30" s="4" t="n">
        <v>3</v>
      </c>
      <c r="C30" s="4" t="s">
        <v>14</v>
      </c>
      <c r="D30" s="4"/>
      <c r="E30" s="4" t="s">
        <v>11</v>
      </c>
      <c r="F30" s="4" t="s">
        <v>55</v>
      </c>
      <c r="G30" s="4" t="s">
        <v>50</v>
      </c>
    </row>
    <row r="31" customFormat="false" ht="23.85" hidden="false" customHeight="false" outlineLevel="0" collapsed="false">
      <c r="A31" s="4" t="s">
        <v>56</v>
      </c>
      <c r="B31" s="4" t="n">
        <v>2</v>
      </c>
      <c r="C31" s="4" t="s">
        <v>14</v>
      </c>
      <c r="D31" s="4"/>
      <c r="E31" s="4" t="s">
        <v>11</v>
      </c>
      <c r="F31" s="4" t="s">
        <v>57</v>
      </c>
      <c r="G31" s="4" t="s">
        <v>54</v>
      </c>
    </row>
    <row r="32" customFormat="false" ht="23.85" hidden="false" customHeight="false" outlineLevel="0" collapsed="false">
      <c r="A32" s="4" t="s">
        <v>58</v>
      </c>
      <c r="B32" s="4" t="n">
        <v>3</v>
      </c>
      <c r="C32" s="4" t="s">
        <v>14</v>
      </c>
      <c r="D32" s="4"/>
      <c r="E32" s="4" t="s">
        <v>27</v>
      </c>
      <c r="F32" s="4" t="s">
        <v>59</v>
      </c>
      <c r="G32" s="4" t="s">
        <v>9</v>
      </c>
    </row>
    <row r="33" customFormat="false" ht="15" hidden="false" customHeight="false" outlineLevel="0" collapsed="false">
      <c r="A33" s="5" t="s">
        <v>20</v>
      </c>
      <c r="B33" s="5" t="n">
        <f aca="false">SUM(B24:B32)</f>
        <v>29</v>
      </c>
      <c r="C33" s="5" t="s">
        <v>21</v>
      </c>
      <c r="D33" s="6" t="n">
        <v>3</v>
      </c>
      <c r="E33" s="5" t="s">
        <v>22</v>
      </c>
      <c r="F33" s="5" t="n">
        <f aca="false">Assumptions!$B$1*Assumptions!$B$2*D33</f>
        <v>30</v>
      </c>
      <c r="G33" s="7" t="n">
        <f aca="false">B33/F33</f>
        <v>0.966666666666667</v>
      </c>
    </row>
    <row r="35" customFormat="false" ht="23.85" hidden="false" customHeight="false" outlineLevel="0" collapsed="false">
      <c r="A35" s="1" t="s">
        <v>60</v>
      </c>
      <c r="B35" s="1" t="s">
        <v>1</v>
      </c>
      <c r="C35" s="1" t="s">
        <v>2</v>
      </c>
      <c r="D35" s="1" t="s">
        <v>3</v>
      </c>
      <c r="E35" s="1" t="s">
        <v>4</v>
      </c>
      <c r="F35" s="1" t="s">
        <v>5</v>
      </c>
      <c r="G35" s="1" t="s">
        <v>6</v>
      </c>
    </row>
    <row r="36" customFormat="false" ht="30" hidden="false" customHeight="true" outlineLevel="0" collapsed="false">
      <c r="A36" s="2" t="s">
        <v>61</v>
      </c>
      <c r="B36" s="2"/>
      <c r="C36" s="2"/>
      <c r="D36" s="2"/>
      <c r="E36" s="2"/>
      <c r="F36" s="2"/>
      <c r="G36" s="2"/>
    </row>
    <row r="37" customFormat="false" ht="30" hidden="false" customHeight="true" outlineLevel="0" collapsed="false">
      <c r="A37" s="3" t="s">
        <v>62</v>
      </c>
      <c r="B37" s="3"/>
      <c r="C37" s="3"/>
      <c r="D37" s="3"/>
      <c r="E37" s="3"/>
      <c r="F37" s="3"/>
      <c r="G37" s="3"/>
    </row>
    <row r="38" customFormat="false" ht="23.85" hidden="false" customHeight="false" outlineLevel="0" collapsed="false">
      <c r="A38" s="4" t="s">
        <v>63</v>
      </c>
      <c r="B38" s="4" t="n">
        <v>4</v>
      </c>
      <c r="C38" s="4" t="s">
        <v>14</v>
      </c>
      <c r="D38" s="4"/>
      <c r="E38" s="4" t="s">
        <v>11</v>
      </c>
      <c r="F38" s="4" t="s">
        <v>64</v>
      </c>
      <c r="G38" s="4" t="s">
        <v>56</v>
      </c>
    </row>
    <row r="39" customFormat="false" ht="23.85" hidden="false" customHeight="false" outlineLevel="0" collapsed="false">
      <c r="A39" s="4" t="s">
        <v>65</v>
      </c>
      <c r="B39" s="4" t="n">
        <v>3</v>
      </c>
      <c r="C39" s="4" t="s">
        <v>14</v>
      </c>
      <c r="D39" s="4"/>
      <c r="E39" s="4" t="s">
        <v>27</v>
      </c>
      <c r="F39" s="4" t="s">
        <v>66</v>
      </c>
      <c r="G39" s="4" t="s">
        <v>63</v>
      </c>
    </row>
    <row r="40" customFormat="false" ht="15" hidden="false" customHeight="false" outlineLevel="0" collapsed="false">
      <c r="A40" s="4" t="s">
        <v>67</v>
      </c>
      <c r="B40" s="4" t="n">
        <v>5</v>
      </c>
      <c r="C40" s="4" t="s">
        <v>14</v>
      </c>
      <c r="D40" s="4"/>
      <c r="E40" s="4" t="s">
        <v>11</v>
      </c>
      <c r="F40" s="4" t="s">
        <v>68</v>
      </c>
      <c r="G40" s="4" t="s">
        <v>56</v>
      </c>
    </row>
    <row r="41" customFormat="false" ht="15" hidden="false" customHeight="false" outlineLevel="0" collapsed="false">
      <c r="A41" s="4" t="s">
        <v>69</v>
      </c>
      <c r="B41" s="4" t="n">
        <v>5</v>
      </c>
      <c r="C41" s="4" t="s">
        <v>14</v>
      </c>
      <c r="D41" s="4"/>
      <c r="E41" s="4" t="s">
        <v>11</v>
      </c>
      <c r="F41" s="4" t="s">
        <v>70</v>
      </c>
      <c r="G41" s="4" t="s">
        <v>67</v>
      </c>
    </row>
    <row r="42" customFormat="false" ht="23.85" hidden="false" customHeight="false" outlineLevel="0" collapsed="false">
      <c r="A42" s="4" t="s">
        <v>71</v>
      </c>
      <c r="B42" s="4" t="n">
        <v>3</v>
      </c>
      <c r="C42" s="4" t="s">
        <v>14</v>
      </c>
      <c r="D42" s="4"/>
      <c r="E42" s="4" t="s">
        <v>11</v>
      </c>
      <c r="F42" s="4" t="s">
        <v>72</v>
      </c>
      <c r="G42" s="4" t="s">
        <v>69</v>
      </c>
    </row>
    <row r="43" customFormat="false" ht="15" hidden="false" customHeight="false" outlineLevel="0" collapsed="false">
      <c r="A43" s="5" t="s">
        <v>20</v>
      </c>
      <c r="B43" s="5" t="n">
        <f aca="false">SUM(B38:B42)</f>
        <v>20</v>
      </c>
      <c r="C43" s="5" t="s">
        <v>21</v>
      </c>
      <c r="D43" s="6" t="n">
        <v>2</v>
      </c>
      <c r="E43" s="5" t="s">
        <v>22</v>
      </c>
      <c r="F43" s="5" t="n">
        <f aca="false">Assumptions!$B$1*Assumptions!$B$2*D43</f>
        <v>20</v>
      </c>
      <c r="G43" s="7" t="n">
        <f aca="false">B43/F43</f>
        <v>1</v>
      </c>
    </row>
    <row r="45" customFormat="false" ht="23.85" hidden="false" customHeight="false" outlineLevel="0" collapsed="false">
      <c r="A45" s="1" t="s">
        <v>73</v>
      </c>
      <c r="B45" s="1" t="s">
        <v>1</v>
      </c>
      <c r="C45" s="1" t="s">
        <v>2</v>
      </c>
      <c r="D45" s="1" t="s">
        <v>3</v>
      </c>
      <c r="E45" s="1" t="s">
        <v>4</v>
      </c>
      <c r="F45" s="1" t="s">
        <v>5</v>
      </c>
      <c r="G45" s="1" t="s">
        <v>6</v>
      </c>
    </row>
    <row r="46" customFormat="false" ht="30" hidden="false" customHeight="true" outlineLevel="0" collapsed="false">
      <c r="A46" s="2" t="s">
        <v>74</v>
      </c>
      <c r="B46" s="2"/>
      <c r="C46" s="2"/>
      <c r="D46" s="2"/>
      <c r="E46" s="2"/>
      <c r="F46" s="2"/>
      <c r="G46" s="2"/>
    </row>
    <row r="47" customFormat="false" ht="30" hidden="false" customHeight="true" outlineLevel="0" collapsed="false">
      <c r="A47" s="3" t="s">
        <v>75</v>
      </c>
      <c r="B47" s="3"/>
      <c r="C47" s="3"/>
      <c r="D47" s="3"/>
      <c r="E47" s="3"/>
      <c r="F47" s="3"/>
      <c r="G47" s="3"/>
    </row>
    <row r="48" customFormat="false" ht="15" hidden="false" customHeight="false" outlineLevel="0" collapsed="false">
      <c r="A48" s="4" t="s">
        <v>76</v>
      </c>
      <c r="B48" s="4" t="n">
        <v>2</v>
      </c>
      <c r="C48" s="4" t="s">
        <v>14</v>
      </c>
      <c r="D48" s="4"/>
      <c r="E48" s="4" t="s">
        <v>11</v>
      </c>
      <c r="F48" s="4" t="s">
        <v>77</v>
      </c>
      <c r="G48" s="4" t="s">
        <v>71</v>
      </c>
    </row>
    <row r="49" customFormat="false" ht="15" hidden="false" customHeight="false" outlineLevel="0" collapsed="false">
      <c r="A49" s="4" t="s">
        <v>78</v>
      </c>
      <c r="B49" s="4" t="n">
        <v>3</v>
      </c>
      <c r="C49" s="4" t="s">
        <v>14</v>
      </c>
      <c r="D49" s="4"/>
      <c r="E49" s="4" t="s">
        <v>11</v>
      </c>
      <c r="F49" s="4" t="s">
        <v>79</v>
      </c>
      <c r="G49" s="4" t="s">
        <v>76</v>
      </c>
    </row>
    <row r="50" customFormat="false" ht="15" hidden="false" customHeight="false" outlineLevel="0" collapsed="false">
      <c r="A50" s="4" t="s">
        <v>80</v>
      </c>
      <c r="B50" s="4" t="n">
        <v>2</v>
      </c>
      <c r="C50" s="4" t="s">
        <v>14</v>
      </c>
      <c r="D50" s="4"/>
      <c r="E50" s="4" t="s">
        <v>11</v>
      </c>
      <c r="F50" s="4" t="s">
        <v>81</v>
      </c>
      <c r="G50" s="4" t="s">
        <v>78</v>
      </c>
    </row>
    <row r="51" customFormat="false" ht="23.85" hidden="false" customHeight="false" outlineLevel="0" collapsed="false">
      <c r="A51" s="4" t="s">
        <v>82</v>
      </c>
      <c r="B51" s="4" t="n">
        <v>2</v>
      </c>
      <c r="C51" s="4" t="s">
        <v>14</v>
      </c>
      <c r="D51" s="4"/>
      <c r="E51" s="4" t="s">
        <v>27</v>
      </c>
      <c r="F51" s="4" t="s">
        <v>83</v>
      </c>
      <c r="G51" s="4" t="s">
        <v>80</v>
      </c>
    </row>
    <row r="52" customFormat="false" ht="15" hidden="false" customHeight="false" outlineLevel="0" collapsed="false">
      <c r="A52" s="4" t="s">
        <v>84</v>
      </c>
      <c r="B52" s="4" t="n">
        <v>2</v>
      </c>
      <c r="C52" s="4" t="s">
        <v>14</v>
      </c>
      <c r="D52" s="4"/>
      <c r="E52" s="4" t="s">
        <v>11</v>
      </c>
      <c r="F52" s="4" t="s">
        <v>85</v>
      </c>
      <c r="G52" s="4" t="s">
        <v>78</v>
      </c>
    </row>
    <row r="53" customFormat="false" ht="23.85" hidden="false" customHeight="false" outlineLevel="0" collapsed="false">
      <c r="A53" s="4" t="s">
        <v>86</v>
      </c>
      <c r="B53" s="4" t="n">
        <v>2</v>
      </c>
      <c r="C53" s="4" t="s">
        <v>14</v>
      </c>
      <c r="D53" s="4"/>
      <c r="E53" s="4" t="s">
        <v>11</v>
      </c>
      <c r="F53" s="4" t="s">
        <v>87</v>
      </c>
      <c r="G53" s="4" t="s">
        <v>78</v>
      </c>
    </row>
    <row r="54" customFormat="false" ht="15" hidden="false" customHeight="false" outlineLevel="0" collapsed="false">
      <c r="A54" s="4" t="s">
        <v>88</v>
      </c>
      <c r="B54" s="4" t="n">
        <v>2</v>
      </c>
      <c r="C54" s="4" t="s">
        <v>14</v>
      </c>
      <c r="D54" s="4"/>
      <c r="E54" s="4" t="s">
        <v>11</v>
      </c>
      <c r="F54" s="4" t="s">
        <v>89</v>
      </c>
      <c r="G54" s="4" t="s">
        <v>86</v>
      </c>
    </row>
    <row r="55" customFormat="false" ht="15" hidden="false" customHeight="false" outlineLevel="0" collapsed="false">
      <c r="A55" s="4" t="s">
        <v>90</v>
      </c>
      <c r="B55" s="4" t="n">
        <v>5</v>
      </c>
      <c r="C55" s="4" t="s">
        <v>14</v>
      </c>
      <c r="D55" s="4"/>
      <c r="E55" s="4" t="s">
        <v>11</v>
      </c>
      <c r="F55" s="4" t="s">
        <v>91</v>
      </c>
      <c r="G55" s="4" t="s">
        <v>80</v>
      </c>
    </row>
    <row r="56" customFormat="false" ht="15" hidden="false" customHeight="false" outlineLevel="0" collapsed="false">
      <c r="A56" s="5" t="s">
        <v>20</v>
      </c>
      <c r="B56" s="5" t="n">
        <f aca="false">SUM(B48:B55)</f>
        <v>20</v>
      </c>
      <c r="C56" s="5" t="s">
        <v>21</v>
      </c>
      <c r="D56" s="6" t="n">
        <v>2</v>
      </c>
      <c r="E56" s="5" t="s">
        <v>22</v>
      </c>
      <c r="F56" s="5" t="n">
        <f aca="false">Assumptions!$B$1*Assumptions!$B$2*D56</f>
        <v>20</v>
      </c>
      <c r="G56" s="7" t="n">
        <f aca="false">B56/F56</f>
        <v>1</v>
      </c>
    </row>
    <row r="58" customFormat="false" ht="45" hidden="false" customHeight="true" outlineLevel="0" collapsed="false">
      <c r="A58" s="8" t="s">
        <v>92</v>
      </c>
      <c r="B58" s="8"/>
      <c r="C58" s="8"/>
      <c r="D58" s="8"/>
      <c r="E58" s="8"/>
      <c r="F58" s="8"/>
      <c r="G58" s="8"/>
    </row>
  </sheetData>
  <mergeCells count="11">
    <mergeCell ref="A2:G2"/>
    <mergeCell ref="A3:G3"/>
    <mergeCell ref="A11:G11"/>
    <mergeCell ref="A12:G12"/>
    <mergeCell ref="A22:G22"/>
    <mergeCell ref="A23:G23"/>
    <mergeCell ref="A36:G36"/>
    <mergeCell ref="A37:G37"/>
    <mergeCell ref="A46:G46"/>
    <mergeCell ref="A47:G47"/>
    <mergeCell ref="A58:G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8"/>
    <col collapsed="false" customWidth="true" hidden="false" outlineLevel="0" max="3" min="3" style="0" width="100"/>
  </cols>
  <sheetData>
    <row r="1" customFormat="false" ht="15" hidden="false" customHeight="false" outlineLevel="0" collapsed="false">
      <c r="A1" s="1" t="s">
        <v>93</v>
      </c>
      <c r="B1" s="1" t="s">
        <v>94</v>
      </c>
      <c r="C1" s="1" t="s">
        <v>95</v>
      </c>
    </row>
    <row r="2" customFormat="false" ht="23.85" hidden="false" customHeight="false" outlineLevel="0" collapsed="false">
      <c r="A2" s="4" t="s">
        <v>96</v>
      </c>
      <c r="B2" s="4" t="s">
        <v>97</v>
      </c>
      <c r="C2" s="4" t="s">
        <v>98</v>
      </c>
    </row>
    <row r="3" customFormat="false" ht="15" hidden="false" customHeight="false" outlineLevel="0" collapsed="false">
      <c r="A3" s="4" t="s">
        <v>99</v>
      </c>
      <c r="B3" s="4" t="s">
        <v>100</v>
      </c>
      <c r="C3" s="4" t="s">
        <v>101</v>
      </c>
    </row>
    <row r="4" customFormat="false" ht="35.05" hidden="false" customHeight="false" outlineLevel="0" collapsed="false">
      <c r="A4" s="4" t="s">
        <v>102</v>
      </c>
      <c r="B4" s="4" t="s">
        <v>103</v>
      </c>
      <c r="C4" s="4" t="s">
        <v>104</v>
      </c>
    </row>
    <row r="5" customFormat="false" ht="23.85" hidden="false" customHeight="false" outlineLevel="0" collapsed="false">
      <c r="A5" s="4" t="s">
        <v>105</v>
      </c>
      <c r="B5" s="4" t="s">
        <v>106</v>
      </c>
      <c r="C5" s="4" t="s">
        <v>107</v>
      </c>
    </row>
    <row r="6" customFormat="false" ht="23.85" hidden="false" customHeight="false" outlineLevel="0" collapsed="false">
      <c r="A6" s="4" t="s">
        <v>108</v>
      </c>
      <c r="B6" s="4" t="s">
        <v>109</v>
      </c>
      <c r="C6" s="4" t="s">
        <v>110</v>
      </c>
    </row>
    <row r="7" customFormat="false" ht="23.85" hidden="false" customHeight="false" outlineLevel="0" collapsed="false">
      <c r="A7" s="4" t="s">
        <v>111</v>
      </c>
      <c r="B7" s="4" t="s">
        <v>112</v>
      </c>
      <c r="C7" s="4" t="s">
        <v>113</v>
      </c>
    </row>
    <row r="8" customFormat="false" ht="23.85" hidden="false" customHeight="false" outlineLevel="0" collapsed="false">
      <c r="A8" s="4" t="s">
        <v>114</v>
      </c>
      <c r="B8" s="4" t="s">
        <v>115</v>
      </c>
      <c r="C8" s="4" t="s">
        <v>116</v>
      </c>
    </row>
    <row r="9" customFormat="false" ht="23.85" hidden="false" customHeight="false" outlineLevel="0" collapsed="false">
      <c r="A9" s="4" t="s">
        <v>117</v>
      </c>
      <c r="B9" s="4" t="s">
        <v>118</v>
      </c>
      <c r="C9" s="4" t="s">
        <v>119</v>
      </c>
    </row>
    <row r="10" customFormat="false" ht="15" hidden="false" customHeight="false" outlineLevel="0" collapsed="false">
      <c r="A10" s="4" t="s">
        <v>120</v>
      </c>
      <c r="B10" s="4" t="s">
        <v>121</v>
      </c>
      <c r="C10" s="4" t="s">
        <v>122</v>
      </c>
    </row>
    <row r="11" customFormat="false" ht="15" hidden="false" customHeight="false" outlineLevel="0" collapsed="false">
      <c r="A11" s="4" t="s">
        <v>123</v>
      </c>
      <c r="B11" s="4" t="s">
        <v>124</v>
      </c>
      <c r="C11" s="4" t="s">
        <v>125</v>
      </c>
    </row>
    <row r="12" customFormat="false" ht="15" hidden="false" customHeight="false" outlineLevel="0" collapsed="false">
      <c r="A12" s="4" t="s">
        <v>126</v>
      </c>
      <c r="B12" s="4" t="s">
        <v>127</v>
      </c>
      <c r="C12" s="4" t="s">
        <v>128</v>
      </c>
    </row>
    <row r="13" customFormat="false" ht="23.85" hidden="false" customHeight="false" outlineLevel="0" collapsed="false">
      <c r="A13" s="4" t="s">
        <v>129</v>
      </c>
      <c r="B13" s="4" t="s">
        <v>130</v>
      </c>
      <c r="C13" s="4" t="s">
        <v>131</v>
      </c>
    </row>
    <row r="14" customFormat="false" ht="15" hidden="false" customHeight="false" outlineLevel="0" collapsed="false">
      <c r="A14" s="4" t="s">
        <v>132</v>
      </c>
      <c r="B14" s="4" t="s">
        <v>133</v>
      </c>
      <c r="C14" s="4" t="s">
        <v>134</v>
      </c>
    </row>
    <row r="15" customFormat="false" ht="15" hidden="false" customHeight="false" outlineLevel="0" collapsed="false">
      <c r="A15" s="4" t="s">
        <v>135</v>
      </c>
      <c r="B15" s="4" t="s">
        <v>136</v>
      </c>
      <c r="C15" s="4" t="s">
        <v>137</v>
      </c>
    </row>
    <row r="16" customFormat="false" ht="15" hidden="false" customHeight="false" outlineLevel="0" collapsed="false">
      <c r="A16" s="4" t="s">
        <v>138</v>
      </c>
      <c r="B16" s="4" t="s">
        <v>139</v>
      </c>
      <c r="C16" s="4" t="s">
        <v>140</v>
      </c>
    </row>
    <row r="17" customFormat="false" ht="23.85" hidden="false" customHeight="false" outlineLevel="0" collapsed="false">
      <c r="A17" s="4" t="s">
        <v>141</v>
      </c>
      <c r="B17" s="4" t="s">
        <v>142</v>
      </c>
      <c r="C17" s="4" t="s">
        <v>143</v>
      </c>
    </row>
    <row r="18" customFormat="false" ht="15" hidden="false" customHeight="false" outlineLevel="0" collapsed="false">
      <c r="A18" s="4" t="s">
        <v>144</v>
      </c>
      <c r="B18" s="4" t="s">
        <v>145</v>
      </c>
      <c r="C18" s="4" t="s">
        <v>146</v>
      </c>
    </row>
    <row r="19" customFormat="false" ht="15" hidden="false" customHeight="false" outlineLevel="0" collapsed="false">
      <c r="A19" s="4" t="s">
        <v>147</v>
      </c>
      <c r="B19" s="4" t="s">
        <v>148</v>
      </c>
      <c r="C19" s="4" t="s">
        <v>149</v>
      </c>
    </row>
    <row r="20" customFormat="false" ht="15" hidden="false" customHeight="false" outlineLevel="0" collapsed="false">
      <c r="A20" s="4" t="s">
        <v>150</v>
      </c>
      <c r="B20" s="4" t="s">
        <v>151</v>
      </c>
      <c r="C20" s="4" t="s">
        <v>152</v>
      </c>
    </row>
    <row r="21" customFormat="false" ht="15" hidden="false" customHeight="false" outlineLevel="0" collapsed="false">
      <c r="A21" s="4" t="s">
        <v>153</v>
      </c>
      <c r="B21" s="4" t="s">
        <v>154</v>
      </c>
      <c r="C21" s="4"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3" style="0" width="60"/>
  </cols>
  <sheetData>
    <row r="1" customFormat="false" ht="15" hidden="false" customHeight="false" outlineLevel="0" collapsed="false">
      <c r="A1" s="9" t="s">
        <v>156</v>
      </c>
      <c r="B1" s="10" t="n">
        <v>2</v>
      </c>
      <c r="C1" s="11" t="s">
        <v>157</v>
      </c>
    </row>
    <row r="2" customFormat="false" ht="15" hidden="false" customHeight="false" outlineLevel="0" collapsed="false">
      <c r="A2" s="9" t="s">
        <v>158</v>
      </c>
      <c r="B2" s="10" t="n">
        <v>5</v>
      </c>
      <c r="C2" s="11"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2026-10-08T10:01:16Z</dcterms:created>
  <dc:creator>openpyxl</dc:creator>
  <dc:description/>
  <dc:language>en-US</dc:language>
  <cp:lastModifiedBy/>
  <dcterms:modified xsi:type="dcterms:W3CDTF">2026-10-08T10:01:16Z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